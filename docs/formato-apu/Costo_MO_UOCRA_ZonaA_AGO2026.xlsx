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1"/>
  </bookViews>
  <sheets>
    <sheet name="Mano de Obra (1)" sheetId="1" r:id="rId1"/>
    <sheet name="Cargas Sociales" sheetId="2" r:id="rId2"/>
  </sheets>
  <definedNames>
    <definedName name="_xlnm.Print_Area" localSheetId="1">'Cargas Sociales'!$A$1:$D$28</definedName>
    <definedName name="_xlnm.Print_Area" localSheetId="0">'Mano de Obra (1)'!$A$1:$G$31</definedName>
  </definedNames>
  <calcPr calcId="1456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2" l="1"/>
  <c r="C24" i="1"/>
  <c r="D8" i="2"/>
  <c r="D7" i="2"/>
  <c r="D6" i="2"/>
  <c r="D9" i="2" s="1"/>
  <c r="D5" i="2"/>
  <c r="B27" i="1"/>
  <c r="A27" i="1"/>
  <c r="E26" i="1"/>
  <c r="D26" i="1"/>
  <c r="B26" i="1"/>
  <c r="A26" i="1"/>
  <c r="B25" i="1"/>
  <c r="A25" i="1"/>
  <c r="B24" i="1"/>
  <c r="A24" i="1"/>
  <c r="B8" i="1"/>
  <c r="D24" i="1" s="1"/>
  <c r="E24" i="1" s="1"/>
  <c r="D10" i="2" l="1"/>
  <c r="D11" i="2"/>
  <c r="D27" i="1"/>
  <c r="E27" i="1" s="1"/>
  <c r="D25" i="1"/>
  <c r="E25" i="1" s="1"/>
  <c r="D15" i="2" l="1"/>
  <c r="D14" i="2"/>
  <c r="D13" i="2"/>
  <c r="D18" i="2" s="1"/>
  <c r="D19" i="2" l="1"/>
  <c r="B18" i="1"/>
  <c r="C26" i="1" l="1"/>
  <c r="F26" i="1" s="1"/>
  <c r="G26" i="1" s="1"/>
  <c r="F24" i="1"/>
  <c r="G24" i="1" s="1"/>
  <c r="C27" i="1"/>
  <c r="F27" i="1" s="1"/>
  <c r="G27" i="1" s="1"/>
  <c r="B19" i="1"/>
  <c r="C25" i="1"/>
  <c r="F25" i="1" s="1"/>
  <c r="G25" i="1" s="1"/>
</calcChain>
</file>

<file path=xl/comments1.xml><?xml version="1.0" encoding="utf-8"?>
<comments xmlns="http://schemas.openxmlformats.org/spreadsheetml/2006/main">
  <authors>
    <author>Unknown Author</author>
  </authors>
  <commentList>
    <comment ref="B12" authorId="0">
      <text>
        <r>
          <rPr>
            <sz val="10"/>
            <rFont val="Arial"/>
            <family val="2"/>
          </rPr>
          <t>Básicos horarios Zona A vigentes desde el 01/08/2026, acuerdo paritario UOCRA (CCT 76/75 y 577/10).
Para actualizar de mes o cambiar de zona, reemplazar SÓLO estos cuatro valores: todo lo demás recalcula solo.
Referencia Zona B agosto 2026: 8.237 / 7.049 / 6.502 / 6.020 $/hora.</t>
        </r>
      </text>
    </comment>
    <comment ref="C12" authorId="0">
      <text>
        <r>
          <rPr>
            <sz val="10"/>
            <rFont val="Arial"/>
            <family val="2"/>
          </rPr>
          <t>Suma extraordinaria NO REMUNERATIVA del acuerdo, en $ por mes y por operario.
En 0 para agosto 2026 porque el aumento de ese mes absorbió en el básico las sumas de junio y julio.
Si un acuerdo futuro vuelve a fijarlas, cargarlas acá: se prorratean por las horas del mes y sólo soportan la contribución de obra social (celda B20).</t>
        </r>
      </text>
    </comment>
  </commentList>
</comments>
</file>

<file path=xl/sharedStrings.xml><?xml version="1.0" encoding="utf-8"?>
<sst xmlns="http://schemas.openxmlformats.org/spreadsheetml/2006/main" count="74" uniqueCount="65">
  <si>
    <t>COSTO DE MANO DE OBRA — UOCRA CCT 76/75 — ZONA A</t>
  </si>
  <si>
    <t>Escala salarial vigente desde el 01/08/2026</t>
  </si>
  <si>
    <t>REFERENCIAS:   fondo AMARILLO y texto AZUL = dato de entrada, editable   ·   texto NEGRO = fórmula, no modificar   ·   texto VERDE = viene de la hoja «Cargas Sociales»</t>
  </si>
  <si>
    <t>1.  PARÁMETROS GENERALES</t>
  </si>
  <si>
    <t>Horas por jornal</t>
  </si>
  <si>
    <t>Jornada normal CCT 76/75 (44 h semanales).</t>
  </si>
  <si>
    <t>Días laborables por mes (promedio)</t>
  </si>
  <si>
    <t>Se usa sólo para prorratear las sumas fijas no remunerativas.</t>
  </si>
  <si>
    <t>Horas por mes</t>
  </si>
  <si>
    <t>horas por jornal × días laborables por mes</t>
  </si>
  <si>
    <t>2.  ESCALA SALARIAL UOCRA — ZONA A</t>
  </si>
  <si>
    <t>Categoría</t>
  </si>
  <si>
    <t>Básico $/hora</t>
  </si>
  <si>
    <t>Suma fija no
remunerativa $/mes</t>
  </si>
  <si>
    <t>Oficial especializado</t>
  </si>
  <si>
    <t>Oficial</t>
  </si>
  <si>
    <t>Medio oficial</t>
  </si>
  <si>
    <t>Ayudante</t>
  </si>
  <si>
    <t>3.  CARGAS SOCIALES  (detalle en la hoja «Cargas Sociales»)</t>
  </si>
  <si>
    <t>Incidencia total de cargas sociales sobre el básico</t>
  </si>
  <si>
    <t>Factor de costo   ( 1 + cargas )</t>
  </si>
  <si>
    <t>Multiplicador que se aplica al básico horario</t>
  </si>
  <si>
    <t>Cargas sobre sumas no remunerativas (sólo obra social)</t>
  </si>
  <si>
    <t>Las sumas no remunerativas no devengan jubilación, SAC, FCL ni ART</t>
  </si>
  <si>
    <t>4.  COSTO DE LA MANO DE OBRA</t>
  </si>
  <si>
    <t>Básico
$/hora</t>
  </si>
  <si>
    <t>Cargas sociales
$/hora</t>
  </si>
  <si>
    <t>Suma no remun.
$/hora</t>
  </si>
  <si>
    <t>Cargas s/suma no
remunerativa $/hora</t>
  </si>
  <si>
    <t>COSTO
$/HORA</t>
  </si>
  <si>
    <t>COSTO
$/JORNAL 8 h</t>
  </si>
  <si>
    <t>Este costo comprende el salario de convenio y la totalidad de las cargas sociales, aportes, contribuciones y beneficios convencionales. NO incluye improductividad o rendimiento de cuadrilla, herramienta menor, elementos de protección personal, viáticos ni traslados: esos conceptos corresponden al análisis de precio unitario, fuera de las cargas sociales.</t>
  </si>
  <si>
    <t>CARGAS SOCIALES SOBRE EL SALARIO BÁSICO</t>
  </si>
  <si>
    <t>Cada concepto se expresa con su alícuota y su base de aplicación explícita. Editar únicamente la columna «Alícuota».</t>
  </si>
  <si>
    <t>Concepto</t>
  </si>
  <si>
    <t>Alícuota</t>
  </si>
  <si>
    <t>Base de aplicación</t>
  </si>
  <si>
    <t>Incidencia
s/ básico</t>
  </si>
  <si>
    <t>Salario básico de convenio</t>
  </si>
  <si>
    <t>—</t>
  </si>
  <si>
    <t>Premio por asistencia</t>
  </si>
  <si>
    <t>Salario básico</t>
  </si>
  <si>
    <t>Salarios pagados por tiempo no trabajado</t>
  </si>
  <si>
    <t>Asignación para vestimenta (no remunerativa)</t>
  </si>
  <si>
    <t>SUBTOTAL REMUNERATIVO MENSUAL</t>
  </si>
  <si>
    <t>básico + asistencia + tiempo no trabajado</t>
  </si>
  <si>
    <t>Sueldo anual complementario (SAC)</t>
  </si>
  <si>
    <t>Subtotal remunerativo mensual</t>
  </si>
  <si>
    <t>BASE SUJETA A APORTES Y CONTRIBUCIONES</t>
  </si>
  <si>
    <t>subtotal remunerativo + SAC</t>
  </si>
  <si>
    <t>Fondo de cese laboral (Ley 22.250)</t>
  </si>
  <si>
    <t>Base sujeta a aportes y contribuciones</t>
  </si>
  <si>
    <t>SUBTOTAL LIQUIDADO AL OBRERO</t>
  </si>
  <si>
    <t>asistencia + tiempo no trab. + vestimenta + SAC + FCL</t>
  </si>
  <si>
    <t>Contribuciones patronales</t>
  </si>
  <si>
    <t>ART + seguro de vida obligatorio</t>
  </si>
  <si>
    <t>TOTAL CARGAS SOCIALES SOBRE EL BÁSICO</t>
  </si>
  <si>
    <t>FACTOR DE COSTO   ( 1 + total cargas )</t>
  </si>
  <si>
    <t>NOTAS SOBRE CADA ALÍCUOTA</t>
  </si>
  <si>
    <t>• Premio por asistencia: el CCT fija 20% del básico por asistencia perfecta. Se adopta 18% = 20% × 90% de percepción efectiva estimada. Si en la obra se paga de forma sistemática, cargar 20,0000%.</t>
  </si>
  <si>
    <t>• Salarios por tiempo no trabajado: feriados, vacaciones, enfermedad inculpable y jornadas perdidas por lluvia. Conviene respaldar el 17% con los partes diarios de la propia empresa.</t>
  </si>
  <si>
    <t>• SAC: 1/12 = 8,3333% de la remuneración mensual devengada.</t>
  </si>
  <si>
    <t>• Fondo de cese laboral: 12% durante el primer año de la relación laboral y 8% a partir del segundo (Ley 22.250, art. 15). Con dotación estable corresponde 8% y la incidencia total baja alrededor de 5,8 puntos.</t>
  </si>
  <si>
    <t>• Contribuciones patronales: 26,90% ≈ 20,40% (SIPA + INSSJP + asignaciones familiares + Fondo Nacional de Empleo) + 6,00% obra social + fondos convencionales. Verificar la alícuota efectiva según el encuadre de la empresa y la detracción vigente.</t>
  </si>
  <si>
    <t>• ART + seguro de vida: 4,55% es un valor de referencia. La alícuota real surge del contrato con la ART y en construcción va de ~4% a ~11% según siniestralidad. Reemplazar por la de la póliza vigente.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</si>
</sst>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\$#,##0;&quot;($&quot;#,##0\);\-"/>
    <numFmt numFmtId="165" formatCode="0.0000"/>
    <numFmt numFmtId="166" formatCode="\$#,##0.00;&quot;($&quot;#,##0.00\);\-"/>
    <numFmt numFmtId="167" formatCode="0.0000%"/>
  </numFmts>
  <fonts count="15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i/>
      <sz val="9"/>
      <color rgb="FF000000"/>
      <name val="Arial"/>
      <charset val="1"/>
    </font>
    <font>
      <i/>
      <sz val="9"/>
      <color rgb="FFC0000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i/>
      <sz val="9"/>
      <color rgb="FF595959"/>
      <name val="Arial"/>
      <charset val="1"/>
    </font>
    <font>
      <b/>
      <sz val="9"/>
      <color rgb="FF000000"/>
      <name val="Arial"/>
      <charset val="1"/>
    </font>
    <font>
      <b/>
      <sz val="10"/>
      <color rgb="FF008000"/>
      <name val="Arial"/>
      <charset val="1"/>
    </font>
    <font>
      <b/>
      <sz val="9"/>
      <color rgb="FFFFFFFF"/>
      <name val="Arial"/>
      <charset val="1"/>
    </font>
    <font>
      <i/>
      <sz val="9"/>
      <color rgb="FF404040"/>
      <name val="Arial"/>
      <charset val="1"/>
    </font>
    <font>
      <sz val="10"/>
      <name val="Arial"/>
      <family val="2"/>
    </font>
    <font>
      <b/>
      <sz val="11"/>
      <color rgb="FFFFFFFF"/>
      <name val="Arial"/>
      <charset val="1"/>
    </font>
    <font>
      <sz val="9"/>
      <color rgb="FF40404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DDEBF7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D9E2F3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404040"/>
      </bottom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4" fillId="0" borderId="0" xfId="0" applyFont="1" applyBorder="1" applyAlignment="1">
      <alignment vertical="top" wrapText="1"/>
    </xf>
    <xf numFmtId="0" fontId="11" fillId="0" borderId="0" xfId="0" applyFont="1" applyBorder="1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0" borderId="0" xfId="0" applyFont="1"/>
    <xf numFmtId="1" fontId="6" fillId="4" borderId="1" xfId="0" applyNumberFormat="1" applyFont="1" applyFill="1" applyBorder="1" applyAlignment="1">
      <alignment horizontal="center"/>
    </xf>
    <xf numFmtId="0" fontId="7" fillId="0" borderId="0" xfId="0" applyFont="1"/>
    <xf numFmtId="1" fontId="4" fillId="0" borderId="1" xfId="0" applyNumberFormat="1" applyFont="1" applyBorder="1" applyAlignment="1">
      <alignment horizontal="center"/>
    </xf>
    <xf numFmtId="0" fontId="8" fillId="5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6" fillId="4" borderId="1" xfId="0" applyNumberFormat="1" applyFont="1" applyFill="1" applyBorder="1"/>
    <xf numFmtId="10" fontId="9" fillId="0" borderId="1" xfId="0" applyNumberFormat="1" applyFont="1" applyBorder="1"/>
    <xf numFmtId="165" fontId="4" fillId="0" borderId="1" xfId="0" applyNumberFormat="1" applyFont="1" applyBorder="1"/>
    <xf numFmtId="10" fontId="6" fillId="4" borderId="1" xfId="0" applyNumberFormat="1" applyFont="1" applyFill="1" applyBorder="1"/>
    <xf numFmtId="0" fontId="10" fillId="6" borderId="1" xfId="0" applyFont="1" applyFill="1" applyBorder="1" applyAlignment="1">
      <alignment horizontal="center" vertical="center" wrapText="1"/>
    </xf>
    <xf numFmtId="166" fontId="5" fillId="0" borderId="1" xfId="0" applyNumberFormat="1" applyFont="1" applyBorder="1"/>
    <xf numFmtId="166" fontId="4" fillId="7" borderId="1" xfId="0" applyNumberFormat="1" applyFont="1" applyFill="1" applyBorder="1"/>
    <xf numFmtId="164" fontId="4" fillId="7" borderId="1" xfId="0" applyNumberFormat="1" applyFont="1" applyFill="1" applyBorder="1"/>
    <xf numFmtId="0" fontId="5" fillId="0" borderId="2" xfId="0" applyFont="1" applyBorder="1"/>
    <xf numFmtId="166" fontId="5" fillId="0" borderId="2" xfId="0" applyNumberFormat="1" applyFont="1" applyBorder="1"/>
    <xf numFmtId="166" fontId="4" fillId="7" borderId="2" xfId="0" applyNumberFormat="1" applyFont="1" applyFill="1" applyBorder="1"/>
    <xf numFmtId="164" fontId="4" fillId="7" borderId="2" xfId="0" applyNumberFormat="1" applyFont="1" applyFill="1" applyBorder="1"/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10" fontId="5" fillId="0" borderId="1" xfId="0" applyNumberFormat="1" applyFont="1" applyBorder="1"/>
    <xf numFmtId="167" fontId="6" fillId="4" borderId="1" xfId="0" applyNumberFormat="1" applyFont="1" applyFill="1" applyBorder="1"/>
    <xf numFmtId="0" fontId="4" fillId="0" borderId="1" xfId="0" applyFont="1" applyBorder="1"/>
    <xf numFmtId="10" fontId="4" fillId="5" borderId="1" xfId="0" applyNumberFormat="1" applyFont="1" applyFill="1" applyBorder="1"/>
    <xf numFmtId="0" fontId="13" fillId="2" borderId="3" xfId="0" applyFont="1" applyFill="1" applyBorder="1"/>
    <xf numFmtId="10" fontId="13" fillId="2" borderId="3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1"/>
  <sheetViews>
    <sheetView showGridLines="0" zoomScaleNormal="100" workbookViewId="0">
      <selection activeCell="D36" sqref="D36"/>
    </sheetView>
  </sheetViews>
  <sheetFormatPr baseColWidth="10" defaultColWidth="8.7109375" defaultRowHeight="15" x14ac:dyDescent="0.25"/>
  <cols>
    <col min="1" max="1" width="58.7109375" customWidth="1"/>
    <col min="2" max="6" width="17" customWidth="1"/>
    <col min="7" max="7" width="18" customWidth="1"/>
    <col min="8" max="8" width="4" customWidth="1"/>
  </cols>
  <sheetData>
    <row r="1" spans="1:7" ht="15.75" x14ac:dyDescent="0.25">
      <c r="A1" s="3" t="s">
        <v>0</v>
      </c>
      <c r="B1" s="3"/>
      <c r="C1" s="3"/>
      <c r="D1" s="3"/>
      <c r="E1" s="3"/>
      <c r="F1" s="3"/>
      <c r="G1" s="3"/>
    </row>
    <row r="2" spans="1:7" x14ac:dyDescent="0.25">
      <c r="A2" s="4" t="s">
        <v>1</v>
      </c>
    </row>
    <row r="3" spans="1:7" x14ac:dyDescent="0.25">
      <c r="A3" s="5" t="s">
        <v>2</v>
      </c>
    </row>
    <row r="5" spans="1:7" x14ac:dyDescent="0.25">
      <c r="A5" s="6" t="s">
        <v>3</v>
      </c>
      <c r="B5" s="6"/>
      <c r="C5" s="6"/>
      <c r="D5" s="6"/>
      <c r="E5" s="6"/>
      <c r="F5" s="6"/>
      <c r="G5" s="6"/>
    </row>
    <row r="6" spans="1:7" x14ac:dyDescent="0.25">
      <c r="A6" s="7" t="s">
        <v>4</v>
      </c>
      <c r="B6" s="8">
        <v>8</v>
      </c>
      <c r="C6" s="9" t="s">
        <v>5</v>
      </c>
    </row>
    <row r="7" spans="1:7" x14ac:dyDescent="0.25">
      <c r="A7" s="7" t="s">
        <v>6</v>
      </c>
      <c r="B7" s="8">
        <v>22</v>
      </c>
      <c r="C7" s="9" t="s">
        <v>7</v>
      </c>
    </row>
    <row r="8" spans="1:7" x14ac:dyDescent="0.25">
      <c r="A8" s="7" t="s">
        <v>8</v>
      </c>
      <c r="B8" s="10">
        <f>B6*B7</f>
        <v>176</v>
      </c>
      <c r="C8" s="9" t="s">
        <v>9</v>
      </c>
    </row>
    <row r="10" spans="1:7" x14ac:dyDescent="0.25">
      <c r="A10" s="6" t="s">
        <v>10</v>
      </c>
      <c r="B10" s="6"/>
      <c r="C10" s="6"/>
      <c r="D10" s="6"/>
      <c r="E10" s="6"/>
      <c r="F10" s="6"/>
      <c r="G10" s="6"/>
    </row>
    <row r="11" spans="1:7" ht="30" customHeight="1" x14ac:dyDescent="0.25">
      <c r="A11" s="11" t="s">
        <v>11</v>
      </c>
      <c r="B11" s="11" t="s">
        <v>12</v>
      </c>
      <c r="C11" s="11" t="s">
        <v>13</v>
      </c>
    </row>
    <row r="12" spans="1:7" x14ac:dyDescent="0.25">
      <c r="A12" s="12" t="s">
        <v>14</v>
      </c>
      <c r="B12" s="13">
        <v>7420</v>
      </c>
      <c r="C12" s="13">
        <v>0</v>
      </c>
    </row>
    <row r="13" spans="1:7" x14ac:dyDescent="0.25">
      <c r="A13" s="12" t="s">
        <v>15</v>
      </c>
      <c r="B13" s="13">
        <v>6348</v>
      </c>
      <c r="C13" s="13">
        <v>0</v>
      </c>
    </row>
    <row r="14" spans="1:7" x14ac:dyDescent="0.25">
      <c r="A14" s="12" t="s">
        <v>16</v>
      </c>
      <c r="B14" s="13">
        <v>5866</v>
      </c>
      <c r="C14" s="13">
        <v>0</v>
      </c>
    </row>
    <row r="15" spans="1:7" x14ac:dyDescent="0.25">
      <c r="A15" s="12" t="s">
        <v>17</v>
      </c>
      <c r="B15" s="13">
        <v>5399</v>
      </c>
      <c r="C15" s="13">
        <v>0</v>
      </c>
    </row>
    <row r="17" spans="1:7" x14ac:dyDescent="0.25">
      <c r="A17" s="6" t="s">
        <v>18</v>
      </c>
      <c r="B17" s="6"/>
      <c r="C17" s="6"/>
      <c r="D17" s="6"/>
      <c r="E17" s="6"/>
      <c r="F17" s="6"/>
      <c r="G17" s="6"/>
    </row>
    <row r="18" spans="1:7" x14ac:dyDescent="0.25">
      <c r="A18" s="7" t="s">
        <v>19</v>
      </c>
      <c r="B18" s="14">
        <f>'Cargas Sociales'!D18</f>
        <v>1.1342562499999997</v>
      </c>
    </row>
    <row r="19" spans="1:7" x14ac:dyDescent="0.25">
      <c r="A19" s="7" t="s">
        <v>20</v>
      </c>
      <c r="B19" s="15">
        <f>1+B18</f>
        <v>2.13425625</v>
      </c>
      <c r="C19" s="9" t="s">
        <v>21</v>
      </c>
    </row>
    <row r="20" spans="1:7" x14ac:dyDescent="0.25">
      <c r="A20" s="7" t="s">
        <v>22</v>
      </c>
      <c r="B20" s="16">
        <v>0.06</v>
      </c>
      <c r="C20" s="9" t="s">
        <v>23</v>
      </c>
    </row>
    <row r="22" spans="1:7" x14ac:dyDescent="0.25">
      <c r="A22" s="6" t="s">
        <v>24</v>
      </c>
      <c r="B22" s="6"/>
      <c r="C22" s="6"/>
      <c r="D22" s="6"/>
      <c r="E22" s="6"/>
      <c r="F22" s="6"/>
      <c r="G22" s="6"/>
    </row>
    <row r="23" spans="1:7" ht="36" customHeight="1" x14ac:dyDescent="0.25">
      <c r="A23" s="17" t="s">
        <v>11</v>
      </c>
      <c r="B23" s="17" t="s">
        <v>25</v>
      </c>
      <c r="C23" s="17" t="s">
        <v>26</v>
      </c>
      <c r="D23" s="17" t="s">
        <v>27</v>
      </c>
      <c r="E23" s="17" t="s">
        <v>28</v>
      </c>
      <c r="F23" s="17" t="s">
        <v>29</v>
      </c>
      <c r="G23" s="17" t="s">
        <v>30</v>
      </c>
    </row>
    <row r="24" spans="1:7" x14ac:dyDescent="0.25">
      <c r="A24" s="12" t="str">
        <f t="shared" ref="A24:B27" si="0">A12</f>
        <v>Oficial especializado</v>
      </c>
      <c r="B24" s="18">
        <f t="shared" si="0"/>
        <v>7420</v>
      </c>
      <c r="C24" s="18">
        <f>B12*$B$18</f>
        <v>8416.1813749999983</v>
      </c>
      <c r="D24" s="18">
        <f>C12/$B$8</f>
        <v>0</v>
      </c>
      <c r="E24" s="18">
        <f>D24*$B$20</f>
        <v>0</v>
      </c>
      <c r="F24" s="19">
        <f>B24+C24+D24+E24</f>
        <v>15836.181374999998</v>
      </c>
      <c r="G24" s="20">
        <f>F24*$B$6</f>
        <v>126689.45099999999</v>
      </c>
    </row>
    <row r="25" spans="1:7" x14ac:dyDescent="0.25">
      <c r="A25" s="12" t="str">
        <f t="shared" si="0"/>
        <v>Oficial</v>
      </c>
      <c r="B25" s="18">
        <f t="shared" si="0"/>
        <v>6348</v>
      </c>
      <c r="C25" s="18">
        <f>B13*$B$18</f>
        <v>7200.2586749999982</v>
      </c>
      <c r="D25" s="18">
        <f>C13/$B$8</f>
        <v>0</v>
      </c>
      <c r="E25" s="18">
        <f>D25*$B$20</f>
        <v>0</v>
      </c>
      <c r="F25" s="19">
        <f>B25+C25+D25+E25</f>
        <v>13548.258674999997</v>
      </c>
      <c r="G25" s="20">
        <f>F25*$B$6</f>
        <v>108386.06939999998</v>
      </c>
    </row>
    <row r="26" spans="1:7" x14ac:dyDescent="0.25">
      <c r="A26" s="12" t="str">
        <f t="shared" si="0"/>
        <v>Medio oficial</v>
      </c>
      <c r="B26" s="18">
        <f t="shared" si="0"/>
        <v>5866</v>
      </c>
      <c r="C26" s="18">
        <f>B14*$B$18</f>
        <v>6653.5471624999982</v>
      </c>
      <c r="D26" s="18">
        <f>C14/$B$8</f>
        <v>0</v>
      </c>
      <c r="E26" s="18">
        <f>D26*$B$20</f>
        <v>0</v>
      </c>
      <c r="F26" s="19">
        <f>B26+C26+D26+E26</f>
        <v>12519.547162499999</v>
      </c>
      <c r="G26" s="20">
        <f>F26*$B$6</f>
        <v>100156.37729999999</v>
      </c>
    </row>
    <row r="27" spans="1:7" x14ac:dyDescent="0.25">
      <c r="A27" s="21" t="str">
        <f t="shared" si="0"/>
        <v>Ayudante</v>
      </c>
      <c r="B27" s="22">
        <f t="shared" si="0"/>
        <v>5399</v>
      </c>
      <c r="C27" s="22">
        <f>B15*$B$18</f>
        <v>6123.8494937499991</v>
      </c>
      <c r="D27" s="22">
        <f>C15/$B$8</f>
        <v>0</v>
      </c>
      <c r="E27" s="22">
        <f>D27*$B$20</f>
        <v>0</v>
      </c>
      <c r="F27" s="23">
        <f>B27+C27+D27+E27</f>
        <v>11522.84949375</v>
      </c>
      <c r="G27" s="24">
        <f>F27*$B$6</f>
        <v>92182.79595</v>
      </c>
    </row>
    <row r="29" spans="1:7" ht="15" customHeight="1" x14ac:dyDescent="0.25">
      <c r="A29" s="2" t="s">
        <v>31</v>
      </c>
      <c r="B29" s="2"/>
      <c r="C29" s="2"/>
      <c r="D29" s="2"/>
      <c r="E29" s="2"/>
      <c r="F29" s="2"/>
      <c r="G29" s="2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2"/>
      <c r="B31" s="2"/>
      <c r="C31" s="2"/>
      <c r="D31" s="2"/>
      <c r="E31" s="2"/>
      <c r="F31" s="2"/>
      <c r="G31" s="2"/>
    </row>
  </sheetData>
  <mergeCells count="1">
    <mergeCell ref="A29:G3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showGridLines="0" tabSelected="1" zoomScaleNormal="100" workbookViewId="0">
      <selection activeCell="C34" sqref="C34"/>
    </sheetView>
  </sheetViews>
  <sheetFormatPr baseColWidth="10" defaultColWidth="8.7109375" defaultRowHeight="15" x14ac:dyDescent="0.25"/>
  <cols>
    <col min="1" max="1" width="50" customWidth="1"/>
    <col min="2" max="2" width="14" customWidth="1"/>
    <col min="3" max="3" width="38" customWidth="1"/>
    <col min="4" max="4" width="17" customWidth="1"/>
  </cols>
  <sheetData>
    <row r="1" spans="1:4" ht="15.75" x14ac:dyDescent="0.25">
      <c r="A1" s="3" t="s">
        <v>32</v>
      </c>
      <c r="B1" s="3"/>
      <c r="C1" s="3"/>
      <c r="D1" s="3"/>
    </row>
    <row r="2" spans="1:4" x14ac:dyDescent="0.25">
      <c r="A2" s="4" t="s">
        <v>33</v>
      </c>
    </row>
    <row r="4" spans="1:4" ht="31.5" customHeight="1" x14ac:dyDescent="0.25">
      <c r="A4" s="17" t="s">
        <v>34</v>
      </c>
      <c r="B4" s="17" t="s">
        <v>35</v>
      </c>
      <c r="C4" s="17" t="s">
        <v>36</v>
      </c>
      <c r="D4" s="17" t="s">
        <v>37</v>
      </c>
    </row>
    <row r="5" spans="1:4" x14ac:dyDescent="0.25">
      <c r="A5" s="12" t="s">
        <v>38</v>
      </c>
      <c r="B5" s="25" t="s">
        <v>39</v>
      </c>
      <c r="C5" s="26" t="s">
        <v>39</v>
      </c>
      <c r="D5" s="27">
        <f>1</f>
        <v>1</v>
      </c>
    </row>
    <row r="6" spans="1:4" x14ac:dyDescent="0.25">
      <c r="A6" s="12" t="s">
        <v>40</v>
      </c>
      <c r="B6" s="28">
        <v>0.18</v>
      </c>
      <c r="C6" s="26" t="s">
        <v>41</v>
      </c>
      <c r="D6" s="27">
        <f>B6*$D$5</f>
        <v>0.18</v>
      </c>
    </row>
    <row r="7" spans="1:4" x14ac:dyDescent="0.25">
      <c r="A7" s="12" t="s">
        <v>42</v>
      </c>
      <c r="B7" s="28">
        <v>0.17</v>
      </c>
      <c r="C7" s="26" t="s">
        <v>41</v>
      </c>
      <c r="D7" s="27">
        <f>B7*$D$5</f>
        <v>0.17</v>
      </c>
    </row>
    <row r="8" spans="1:4" x14ac:dyDescent="0.25">
      <c r="A8" s="12" t="s">
        <v>43</v>
      </c>
      <c r="B8" s="28">
        <v>3.6299999999999999E-2</v>
      </c>
      <c r="C8" s="26" t="s">
        <v>41</v>
      </c>
      <c r="D8" s="27">
        <f>B8*$D$5</f>
        <v>3.6299999999999999E-2</v>
      </c>
    </row>
    <row r="9" spans="1:4" x14ac:dyDescent="0.25">
      <c r="A9" s="29" t="s">
        <v>44</v>
      </c>
      <c r="B9" s="25" t="s">
        <v>39</v>
      </c>
      <c r="C9" s="26" t="s">
        <v>45</v>
      </c>
      <c r="D9" s="30">
        <f>D5+D6+D7</f>
        <v>1.3499999999999999</v>
      </c>
    </row>
    <row r="10" spans="1:4" x14ac:dyDescent="0.25">
      <c r="A10" s="12" t="s">
        <v>46</v>
      </c>
      <c r="B10" s="28">
        <v>8.3333333333333301E-2</v>
      </c>
      <c r="C10" s="26" t="s">
        <v>47</v>
      </c>
      <c r="D10" s="27">
        <f>B10*$D$9</f>
        <v>0.11249999999999995</v>
      </c>
    </row>
    <row r="11" spans="1:4" x14ac:dyDescent="0.25">
      <c r="A11" s="29" t="s">
        <v>48</v>
      </c>
      <c r="B11" s="25" t="s">
        <v>39</v>
      </c>
      <c r="C11" s="26" t="s">
        <v>49</v>
      </c>
      <c r="D11" s="30">
        <f>D9+D10</f>
        <v>1.4624999999999999</v>
      </c>
    </row>
    <row r="12" spans="1:4" x14ac:dyDescent="0.25">
      <c r="A12" s="12" t="s">
        <v>50</v>
      </c>
      <c r="B12" s="28">
        <v>0.12</v>
      </c>
      <c r="C12" s="26" t="s">
        <v>51</v>
      </c>
      <c r="D12" s="27">
        <f>B12*$D$11</f>
        <v>0.17549999999999999</v>
      </c>
    </row>
    <row r="13" spans="1:4" x14ac:dyDescent="0.25">
      <c r="A13" s="29" t="s">
        <v>52</v>
      </c>
      <c r="B13" s="25" t="s">
        <v>39</v>
      </c>
      <c r="C13" s="26" t="s">
        <v>53</v>
      </c>
      <c r="D13" s="30">
        <f>D6+D7+D8+D10+D12</f>
        <v>0.6742999999999999</v>
      </c>
    </row>
    <row r="14" spans="1:4" x14ac:dyDescent="0.25">
      <c r="A14" s="12" t="s">
        <v>54</v>
      </c>
      <c r="B14" s="28">
        <v>0.26900000000000002</v>
      </c>
      <c r="C14" s="26" t="s">
        <v>51</v>
      </c>
      <c r="D14" s="27">
        <f>B14*$D$11</f>
        <v>0.3934125</v>
      </c>
    </row>
    <row r="15" spans="1:4" x14ac:dyDescent="0.25">
      <c r="A15" s="12" t="s">
        <v>55</v>
      </c>
      <c r="B15" s="28">
        <v>4.5499999999999999E-2</v>
      </c>
      <c r="C15" s="26" t="s">
        <v>51</v>
      </c>
      <c r="D15" s="27">
        <f>B15*$D$11</f>
        <v>6.6543749999999999E-2</v>
      </c>
    </row>
    <row r="18" spans="1:4" x14ac:dyDescent="0.25">
      <c r="A18" s="31" t="s">
        <v>56</v>
      </c>
      <c r="B18" s="31"/>
      <c r="C18" s="31"/>
      <c r="D18" s="32">
        <f>D13+D14+D15</f>
        <v>1.1342562499999997</v>
      </c>
    </row>
    <row r="19" spans="1:4" x14ac:dyDescent="0.25">
      <c r="A19" s="33" t="s">
        <v>57</v>
      </c>
      <c r="D19" s="15">
        <f>1+D18</f>
        <v>2.13425625</v>
      </c>
    </row>
    <row r="21" spans="1:4" x14ac:dyDescent="0.25">
      <c r="A21" s="33" t="s">
        <v>58</v>
      </c>
    </row>
    <row r="22" spans="1:4" ht="27.75" customHeight="1" x14ac:dyDescent="0.25">
      <c r="A22" s="1" t="s">
        <v>59</v>
      </c>
      <c r="B22" s="1"/>
      <c r="C22" s="1"/>
      <c r="D22" s="1"/>
    </row>
    <row r="23" spans="1:4" ht="27.75" customHeight="1" x14ac:dyDescent="0.25">
      <c r="A23" s="1" t="s">
        <v>60</v>
      </c>
      <c r="B23" s="1"/>
      <c r="C23" s="1"/>
      <c r="D23" s="1"/>
    </row>
    <row r="24" spans="1:4" ht="27.75" customHeight="1" x14ac:dyDescent="0.25">
      <c r="A24" s="1" t="s">
        <v>61</v>
      </c>
      <c r="B24" s="1"/>
      <c r="C24" s="1"/>
      <c r="D24" s="1"/>
    </row>
    <row r="25" spans="1:4" ht="27.75" customHeight="1" x14ac:dyDescent="0.25">
      <c r="A25" s="1" t="s">
        <v>62</v>
      </c>
      <c r="B25" s="1"/>
      <c r="C25" s="1"/>
      <c r="D25" s="1"/>
    </row>
    <row r="26" spans="1:4" ht="27.75" customHeight="1" x14ac:dyDescent="0.25">
      <c r="A26" s="1" t="s">
        <v>63</v>
      </c>
      <c r="B26" s="1"/>
      <c r="C26" s="1"/>
      <c r="D26" s="1"/>
    </row>
    <row r="27" spans="1:4" ht="27.75" customHeight="1" x14ac:dyDescent="0.25">
      <c r="A27" s="1" t="s">
        <v>64</v>
      </c>
      <c r="B27" s="1"/>
      <c r="C27" s="1"/>
      <c r="D27" s="1"/>
    </row>
  </sheetData>
  <mergeCells count="6">
    <mergeCell ref="A27:D27"/>
    <mergeCell ref="A22:D22"/>
    <mergeCell ref="A23:D23"/>
    <mergeCell ref="A24:D24"/>
    <mergeCell ref="A25:D25"/>
    <mergeCell ref="A26:D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Mano de Obra (1)</vt:lpstr>
      <vt:lpstr>Cargas Sociales</vt:lpstr>
      <vt:lpstr>'Cargas Sociales'!Área_de_impresión</vt:lpstr>
      <vt:lpstr>'Mano de Obra (1)'!Área_de_impresión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cp:revision>0</cp:revision>
  <dcterms:created xsi:type="dcterms:W3CDTF">2026-08-24T20:38:12Z</dcterms:created>
  <dcterms:modified xsi:type="dcterms:W3CDTF">2026-08-25T02:49:10Z</dcterms:modified>
  <dc:language>en-US</dc:language>
</cp:coreProperties>
</file>